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0" documentId="8_{A36E40AD-A905-434E-B59A-F24C7506BEF8}" xr6:coauthVersionLast="47" xr6:coauthVersionMax="47" xr10:uidLastSave="{00000000-0000-0000-0000-000000000000}"/>
  <bookViews>
    <workbookView xWindow="0" yWindow="0" windowWidth="21600" windowHeight="9480" tabRatio="500" xr2:uid="{00000000-000D-0000-FFFF-FFFF00000000}"/>
  </bookViews>
  <sheets>
    <sheet name="Overdue Action Reminder" sheetId="1" r:id="rId1"/>
  </sheets>
  <definedNames>
    <definedName name="_xlnm._FilterDatabase" localSheetId="0" hidden="1">'Overdue Action Reminder'!$A$1:$J$41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<sst xmlns="http://schemas.openxmlformats.org/spreadsheetml/2006/main" count="290" uniqueCount="77">
  <si>
    <t>Action ID</t>
  </si>
  <si>
    <t>Action Title</t>
  </si>
  <si>
    <t>Owner</t>
  </si>
  <si>
    <t>Owner Email</t>
  </si>
  <si>
    <t>Department</t>
  </si>
  <si>
    <t>Priority</t>
  </si>
  <si>
    <t>Status</t>
  </si>
  <si>
    <t>Start Date</t>
  </si>
  <si>
    <t>Due Date</t>
  </si>
  <si>
    <t>Days Overdue</t>
  </si>
  <si>
    <t>ACT-1001</t>
  </si>
  <si>
    <t>Resolve ATM downtime complaints - Ikeja cluster</t>
  </si>
  <si>
    <t>Ese Ile</t>
  </si>
  <si>
    <t>ese.ile@sterling.ng</t>
  </si>
  <si>
    <t>Digital Banking</t>
  </si>
  <si>
    <t>Low</t>
  </si>
  <si>
    <t>Overdue</t>
  </si>
  <si>
    <t>ACT-1002</t>
  </si>
  <si>
    <t>Fix failed transfer reversal delays</t>
  </si>
  <si>
    <t>Ukuchukwu Odozi</t>
  </si>
  <si>
    <t>ukuchukwu.odozi@sterling.ng</t>
  </si>
  <si>
    <t>Credit &amp; Loans</t>
  </si>
  <si>
    <t>High</t>
  </si>
  <si>
    <t>In Progress</t>
  </si>
  <si>
    <t>ACT-1003</t>
  </si>
  <si>
    <t>Update USSD error messaging</t>
  </si>
  <si>
    <t>samuel.omobuwa@sterling.ng</t>
  </si>
  <si>
    <t>ACT-1004</t>
  </si>
  <si>
    <t>Close card dispute backlog</t>
  </si>
  <si>
    <t>Samuel Omobuwa</t>
  </si>
  <si>
    <t>Card Services</t>
  </si>
  <si>
    <t>Open</t>
  </si>
  <si>
    <t>ACT-1005</t>
  </si>
  <si>
    <t>Investigate mobile app login failures</t>
  </si>
  <si>
    <t>Payments &amp; Transfers</t>
  </si>
  <si>
    <t>Medium</t>
  </si>
  <si>
    <t>ACT-1006</t>
  </si>
  <si>
    <t>Reconcile duplicate debit alerts</t>
  </si>
  <si>
    <t>Contact Centre</t>
  </si>
  <si>
    <t>ACT-1007</t>
  </si>
  <si>
    <t>Root cause: POS decline spike</t>
  </si>
  <si>
    <t>Branch Operations</t>
  </si>
  <si>
    <t>Pending Review</t>
  </si>
  <si>
    <t>ACT-1008</t>
  </si>
  <si>
    <t>Follow up on branch queue complaints</t>
  </si>
  <si>
    <t>IT Service Desk</t>
  </si>
  <si>
    <t>ACT-1009</t>
  </si>
  <si>
    <t>Escalate unresolved chargeback cases</t>
  </si>
  <si>
    <t>ACT-1010</t>
  </si>
  <si>
    <t>Address delayed loan disbursement complaints</t>
  </si>
  <si>
    <t>Closed</t>
  </si>
  <si>
    <t>ACT-1011</t>
  </si>
  <si>
    <t>Fix email notification delivery gaps</t>
  </si>
  <si>
    <t>ACT-1012</t>
  </si>
  <si>
    <t>Review call centre wait time breaches</t>
  </si>
  <si>
    <t>ACT-1013</t>
  </si>
  <si>
    <t>Resolve BVN linkage failures</t>
  </si>
  <si>
    <t>ACT-1014</t>
  </si>
  <si>
    <t>Address recurring OTP delivery failures</t>
  </si>
  <si>
    <t>Amina Gellal</t>
  </si>
  <si>
    <t>ACT-1015</t>
  </si>
  <si>
    <t>Close out social media escalations - billing</t>
  </si>
  <si>
    <t>Charles Ifem</t>
  </si>
  <si>
    <t>Charles.ifem@sterling.ng</t>
  </si>
  <si>
    <t>ACT-1016</t>
  </si>
  <si>
    <t>Investigate diaspora transfer delays</t>
  </si>
  <si>
    <t>Due Today</t>
  </si>
  <si>
    <t>ACT-1017</t>
  </si>
  <si>
    <t>Fix statement generation errors</t>
  </si>
  <si>
    <t>ACT-1018</t>
  </si>
  <si>
    <t>Address token generation failures</t>
  </si>
  <si>
    <t>ACT-1019</t>
  </si>
  <si>
    <t>Resolve airtime purchase failures</t>
  </si>
  <si>
    <t>Eno Bassey</t>
  </si>
  <si>
    <t>eno.bassy@sterling.ng</t>
  </si>
  <si>
    <t>ACT-1020</t>
  </si>
  <si>
    <t>Review complaint reopens - card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</si>
</sst>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m\-yyyy"/>
  </numFmts>
  <fonts count="6">
    <font>
      <sz val="11"/>
      <color theme="1"/>
      <name val="Calibri"/>
      <charset val="1"/>
    </font>
    <font>
      <u/>
      <sz val="11"/>
      <color rgb="FF0000FF"/>
      <name val="Calibri"/>
      <scheme val="minor"/>
    </font>
    <font>
      <b/>
      <sz val="11"/>
      <color rgb="FFFFFFFF"/>
      <name val="Raleway"/>
    </font>
    <font>
      <sz val="11"/>
      <color theme="1"/>
      <name val="Raleway"/>
    </font>
    <font>
      <sz val="10"/>
      <name val="Raleway"/>
    </font>
    <font>
      <u/>
      <sz val="11"/>
      <color rgb="FF0000FF"/>
      <name val="Raleway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1" xfId="0" applyFont="1" applyBorder="1"/>
    <xf numFmtId="0" fontId="5" fillId="0" borderId="1" xfId="1" applyFont="1" applyBorder="1" applyAlignment="1"/>
    <xf numFmtId="16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164" fontId="4" fillId="0" borderId="2" xfId="0" applyNumberFormat="1" applyFont="1" applyBorder="1"/>
    <xf numFmtId="0" fontId="4" fillId="0" borderId="2" xfId="0" applyFont="1" applyBorder="1" applyAlignment="1">
      <alignment horizontal="center"/>
    </xf>
    <xf numFmtId="0" fontId="1" fillId="0" borderId="1" xfId="1" applyBorder="1" applyAlignment="1"/>
    <xf numFmtId="14" fontId="4" fillId="0" borderId="1" xfId="0" applyNumberFormat="1" applyFont="1" applyBorder="1"/>
    <xf numFmtId="14" fontId="4" fillId="0" borderId="2" xfId="0" applyNumberFormat="1" applyFont="1" applyBorder="1"/>
    <xf numFmtId="0" fontId="4" fillId="0" borderId="1" xfId="1" applyFont="1" applyBorder="1" applyAlignment="1"/>
    <xf numFmtId="0" fontId="4" fillId="0" borderId="2" xfId="1" applyFont="1" applyBorder="1" applyAlignment="1"/>
  </cellXfs>
  <cellStyles count="2">
    <cellStyle name="Hyperlink" xfId="1" builtinId="8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aleway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aleway"/>
        <scheme val="none"/>
      </font>
      <numFmt numFmtId="19" formatCode="m/d/yyyy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aleway"/>
        <scheme val="none"/>
      </font>
      <numFmt numFmtId="164" formatCode="dd\-mmm\-yyyy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aleway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aleway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aleway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aleway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aleway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aleway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aleway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Raleway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32806-EB19-4316-9A34-44DB05331BD3}" name="Table1" displayName="Table1" ref="A1:J41" totalsRowShown="0" headerRowDxfId="11" tableBorderDxfId="10">
  <autoFilter ref="A1:J41" xr:uid="{00000000-0009-0000-0000-000000000000}"/>
  <tableColumns count="10">
    <tableColumn id="1" xr3:uid="{9B4090CD-C701-467D-B12A-CF30CC960435}" name="Action ID" dataDxfId="9"/>
    <tableColumn id="2" xr3:uid="{0399DC13-8303-4B33-9283-27B28F283274}" name="Action Title" dataDxfId="8"/>
    <tableColumn id="3" xr3:uid="{790A9D41-4226-44FD-9B6A-5AD81B269F98}" name="Owner" dataDxfId="7"/>
    <tableColumn id="4" xr3:uid="{78B20982-6C79-4830-AB7F-5171C27E546A}" name="Owner Email" dataDxfId="6"/>
    <tableColumn id="5" xr3:uid="{636E3737-490C-4756-8A9F-8D344710EF8F}" name="Department" dataDxfId="5"/>
    <tableColumn id="6" xr3:uid="{8DBD03DF-F84E-483C-87CF-8905D1BAFB4B}" name="Priority" dataDxfId="4"/>
    <tableColumn id="7" xr3:uid="{6736AD2A-2642-4FE8-97B4-CAEAC49F53B0}" name="Status" dataDxfId="3"/>
    <tableColumn id="8" xr3:uid="{FB101670-762B-4244-B9E6-7C1F6AE8D799}" name="Start Date" dataDxfId="2"/>
    <tableColumn id="9" xr3:uid="{9DBDDA7E-FF59-49B7-ACDF-F44E8593B60D}" name="Due Date" dataDxfId="1"/>
    <tableColumn id="10" xr3:uid="{6CE6F5B0-CD79-4E48-B112-E71C0F61CE91}" name="Days Overdue" dataDxfId="0">
      <calculatedColumnFormula>IF(G2="Closed","",IF(TODAY()&gt;I2,TODAY()-I2,0))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harles.ifem@sterling.ng" TargetMode="External"/><Relationship Id="rId18" Type="http://schemas.openxmlformats.org/officeDocument/2006/relationships/hyperlink" Target="mailto:ukuchukwu.odozi@sterling.ng" TargetMode="External"/><Relationship Id="rId26" Type="http://schemas.openxmlformats.org/officeDocument/2006/relationships/hyperlink" Target="mailto:ese.ile@sterling.ng" TargetMode="External"/><Relationship Id="rId3" Type="http://schemas.openxmlformats.org/officeDocument/2006/relationships/hyperlink" Target="mailto:samuel.omobuwa@sterling.ng" TargetMode="External"/><Relationship Id="rId21" Type="http://schemas.openxmlformats.org/officeDocument/2006/relationships/hyperlink" Target="mailto:samuel.omobuwa@sterling.ng" TargetMode="External"/><Relationship Id="rId7" Type="http://schemas.openxmlformats.org/officeDocument/2006/relationships/hyperlink" Target="mailto:samuel.omobuwa@sterling.ng" TargetMode="External"/><Relationship Id="rId12" Type="http://schemas.openxmlformats.org/officeDocument/2006/relationships/hyperlink" Target="mailto:Charles.ifem@sterling.ng" TargetMode="External"/><Relationship Id="rId17" Type="http://schemas.openxmlformats.org/officeDocument/2006/relationships/hyperlink" Target="mailto:ese.ile@sterling.ng" TargetMode="External"/><Relationship Id="rId25" Type="http://schemas.openxmlformats.org/officeDocument/2006/relationships/hyperlink" Target="mailto:samuel.omobuwa@sterling.ng" TargetMode="External"/><Relationship Id="rId33" Type="http://schemas.openxmlformats.org/officeDocument/2006/relationships/table" Target="../tables/table1.xml"/><Relationship Id="rId2" Type="http://schemas.openxmlformats.org/officeDocument/2006/relationships/hyperlink" Target="mailto:ukuchukwu.odozi@sterling.ng" TargetMode="External"/><Relationship Id="rId16" Type="http://schemas.openxmlformats.org/officeDocument/2006/relationships/hyperlink" Target="mailto:Charles.ifem@sterling.ng" TargetMode="External"/><Relationship Id="rId20" Type="http://schemas.openxmlformats.org/officeDocument/2006/relationships/hyperlink" Target="mailto:samuel.omobuwa@sterling.ng" TargetMode="External"/><Relationship Id="rId29" Type="http://schemas.openxmlformats.org/officeDocument/2006/relationships/hyperlink" Target="mailto:Charles.ifem@sterling.ng" TargetMode="External"/><Relationship Id="rId1" Type="http://schemas.openxmlformats.org/officeDocument/2006/relationships/hyperlink" Target="mailto:ese.ile@sterling.ng" TargetMode="External"/><Relationship Id="rId6" Type="http://schemas.openxmlformats.org/officeDocument/2006/relationships/hyperlink" Target="mailto:samuel.omobuwa@sterling.ng" TargetMode="External"/><Relationship Id="rId11" Type="http://schemas.openxmlformats.org/officeDocument/2006/relationships/hyperlink" Target="mailto:ukuchukwu.odozi@sterling.ng" TargetMode="External"/><Relationship Id="rId24" Type="http://schemas.openxmlformats.org/officeDocument/2006/relationships/hyperlink" Target="mailto:samuel.omobuwa@sterling.ng" TargetMode="External"/><Relationship Id="rId32" Type="http://schemas.openxmlformats.org/officeDocument/2006/relationships/hyperlink" Target="mailto:Charles.ifem@sterling.ng" TargetMode="External"/><Relationship Id="rId5" Type="http://schemas.openxmlformats.org/officeDocument/2006/relationships/hyperlink" Target="mailto:samuel.omobuwa@sterling.ng" TargetMode="External"/><Relationship Id="rId15" Type="http://schemas.openxmlformats.org/officeDocument/2006/relationships/hyperlink" Target="mailto:eno.bassy@sterling.ng" TargetMode="External"/><Relationship Id="rId23" Type="http://schemas.openxmlformats.org/officeDocument/2006/relationships/hyperlink" Target="mailto:samuel.omobuwa@sterling.ng" TargetMode="External"/><Relationship Id="rId28" Type="http://schemas.openxmlformats.org/officeDocument/2006/relationships/hyperlink" Target="mailto:Charles.ifem@sterling.ng" TargetMode="External"/><Relationship Id="rId10" Type="http://schemas.openxmlformats.org/officeDocument/2006/relationships/hyperlink" Target="mailto:ese.ile@sterling.ng" TargetMode="External"/><Relationship Id="rId19" Type="http://schemas.openxmlformats.org/officeDocument/2006/relationships/hyperlink" Target="mailto:samuel.omobuwa@sterling.ng" TargetMode="External"/><Relationship Id="rId31" Type="http://schemas.openxmlformats.org/officeDocument/2006/relationships/hyperlink" Target="mailto:eno.bassy@sterling.ng" TargetMode="External"/><Relationship Id="rId4" Type="http://schemas.openxmlformats.org/officeDocument/2006/relationships/hyperlink" Target="mailto:samuel.omobuwa@sterling.ng" TargetMode="External"/><Relationship Id="rId9" Type="http://schemas.openxmlformats.org/officeDocument/2006/relationships/hyperlink" Target="mailto:samuel.omobuwa@sterling.ng" TargetMode="External"/><Relationship Id="rId14" Type="http://schemas.openxmlformats.org/officeDocument/2006/relationships/hyperlink" Target="mailto:eno.bassy@sterling.ng" TargetMode="External"/><Relationship Id="rId22" Type="http://schemas.openxmlformats.org/officeDocument/2006/relationships/hyperlink" Target="mailto:samuel.omobuwa@sterling.ng" TargetMode="External"/><Relationship Id="rId27" Type="http://schemas.openxmlformats.org/officeDocument/2006/relationships/hyperlink" Target="mailto:ukuchukwu.odozi@sterling.ng" TargetMode="External"/><Relationship Id="rId30" Type="http://schemas.openxmlformats.org/officeDocument/2006/relationships/hyperlink" Target="mailto:eno.bassy@sterling.ng" TargetMode="External"/><Relationship Id="rId8" Type="http://schemas.openxmlformats.org/officeDocument/2006/relationships/hyperlink" Target="mailto:samuel.omobuwa@sterling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pane ySplit="1" topLeftCell="A2" activePane="bottomLeft" state="frozen"/>
      <selection pane="bottomLeft" activeCell="A22" sqref="A22:J41"/>
    </sheetView>
  </sheetViews>
  <sheetFormatPr defaultColWidth="8.7109375" defaultRowHeight="18"/>
  <cols>
    <col min="1" max="1" width="13" style="2" bestFit="1" customWidth="1"/>
    <col min="2" max="2" width="42" style="2" customWidth="1"/>
    <col min="3" max="3" width="18" style="2" customWidth="1"/>
    <col min="4" max="4" width="41.5703125" style="2" customWidth="1"/>
    <col min="5" max="5" width="20.28515625" style="2" bestFit="1" customWidth="1"/>
    <col min="6" max="6" width="11.140625" style="2" bestFit="1" customWidth="1"/>
    <col min="7" max="7" width="15.140625" style="2" bestFit="1" customWidth="1"/>
    <col min="8" max="8" width="14.140625" style="2" bestFit="1" customWidth="1"/>
    <col min="9" max="9" width="20.28515625" style="2" customWidth="1"/>
    <col min="10" max="10" width="18.140625" style="2" bestFit="1" customWidth="1"/>
    <col min="11" max="16384" width="8.7109375" style="2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3" t="s">
        <v>15</v>
      </c>
      <c r="G2" s="3" t="s">
        <v>16</v>
      </c>
      <c r="H2" s="5">
        <v>46239</v>
      </c>
      <c r="I2" s="11">
        <v>46256</v>
      </c>
      <c r="J2" s="6">
        <f t="shared" ref="J2:J21" ca="1" si="0">IF(G2="Closed","",IF(TODAY()&gt;I2,TODAY()-I2,0))</f>
        <v>50</v>
      </c>
    </row>
    <row r="3" spans="1:10">
      <c r="A3" s="3" t="s">
        <v>17</v>
      </c>
      <c r="B3" s="3" t="s">
        <v>18</v>
      </c>
      <c r="C3" s="3" t="s">
        <v>19</v>
      </c>
      <c r="D3" s="4" t="s">
        <v>20</v>
      </c>
      <c r="E3" s="3" t="s">
        <v>21</v>
      </c>
      <c r="F3" s="3" t="s">
        <v>22</v>
      </c>
      <c r="G3" s="3" t="s">
        <v>23</v>
      </c>
      <c r="H3" s="5">
        <v>46222</v>
      </c>
      <c r="I3" s="11">
        <v>46246</v>
      </c>
      <c r="J3" s="6">
        <f t="shared" ca="1" si="0"/>
        <v>60</v>
      </c>
    </row>
    <row r="4" spans="1:10">
      <c r="A4" s="3" t="s">
        <v>24</v>
      </c>
      <c r="B4" s="3" t="s">
        <v>25</v>
      </c>
      <c r="C4" s="3" t="s">
        <v>19</v>
      </c>
      <c r="D4" s="10" t="s">
        <v>26</v>
      </c>
      <c r="E4" s="3" t="s">
        <v>14</v>
      </c>
      <c r="F4" s="3" t="s">
        <v>22</v>
      </c>
      <c r="G4" s="3" t="s">
        <v>16</v>
      </c>
      <c r="H4" s="5">
        <v>46243</v>
      </c>
      <c r="I4" s="11">
        <v>46255</v>
      </c>
      <c r="J4" s="6">
        <f t="shared" ca="1" si="0"/>
        <v>51</v>
      </c>
    </row>
    <row r="5" spans="1:10">
      <c r="A5" s="3" t="s">
        <v>27</v>
      </c>
      <c r="B5" s="3" t="s">
        <v>28</v>
      </c>
      <c r="C5" s="3" t="s">
        <v>29</v>
      </c>
      <c r="D5" s="10" t="s">
        <v>26</v>
      </c>
      <c r="E5" s="3" t="s">
        <v>30</v>
      </c>
      <c r="F5" s="3" t="s">
        <v>15</v>
      </c>
      <c r="G5" s="3" t="s">
        <v>31</v>
      </c>
      <c r="H5" s="5">
        <v>46222</v>
      </c>
      <c r="I5" s="11">
        <v>46267</v>
      </c>
      <c r="J5" s="6">
        <f t="shared" ca="1" si="0"/>
        <v>39</v>
      </c>
    </row>
    <row r="6" spans="1:10">
      <c r="A6" s="3" t="s">
        <v>32</v>
      </c>
      <c r="B6" s="3" t="s">
        <v>33</v>
      </c>
      <c r="C6" s="3" t="s">
        <v>29</v>
      </c>
      <c r="D6" s="10" t="s">
        <v>26</v>
      </c>
      <c r="E6" s="3" t="s">
        <v>34</v>
      </c>
      <c r="F6" s="3" t="s">
        <v>35</v>
      </c>
      <c r="G6" s="3" t="s">
        <v>23</v>
      </c>
      <c r="H6" s="5">
        <v>46256</v>
      </c>
      <c r="I6" s="11">
        <v>46251</v>
      </c>
      <c r="J6" s="6">
        <f t="shared" ca="1" si="0"/>
        <v>55</v>
      </c>
    </row>
    <row r="7" spans="1:10">
      <c r="A7" s="3" t="s">
        <v>36</v>
      </c>
      <c r="B7" s="3" t="s">
        <v>37</v>
      </c>
      <c r="C7" s="3" t="s">
        <v>29</v>
      </c>
      <c r="D7" s="10" t="s">
        <v>26</v>
      </c>
      <c r="E7" s="3" t="s">
        <v>38</v>
      </c>
      <c r="F7" s="3" t="s">
        <v>22</v>
      </c>
      <c r="G7" s="3" t="s">
        <v>31</v>
      </c>
      <c r="H7" s="5">
        <v>46243</v>
      </c>
      <c r="I7" s="11">
        <v>46262</v>
      </c>
      <c r="J7" s="6">
        <f t="shared" ca="1" si="0"/>
        <v>44</v>
      </c>
    </row>
    <row r="8" spans="1:10">
      <c r="A8" s="3" t="s">
        <v>39</v>
      </c>
      <c r="B8" s="3" t="s">
        <v>40</v>
      </c>
      <c r="C8" s="3" t="s">
        <v>29</v>
      </c>
      <c r="D8" s="10" t="s">
        <v>26</v>
      </c>
      <c r="E8" s="3" t="s">
        <v>41</v>
      </c>
      <c r="F8" s="3" t="s">
        <v>22</v>
      </c>
      <c r="G8" s="3" t="s">
        <v>42</v>
      </c>
      <c r="H8" s="5">
        <v>46234</v>
      </c>
      <c r="I8" s="11">
        <v>46263</v>
      </c>
      <c r="J8" s="6">
        <f t="shared" ca="1" si="0"/>
        <v>43</v>
      </c>
    </row>
    <row r="9" spans="1:10">
      <c r="A9" s="3" t="s">
        <v>43</v>
      </c>
      <c r="B9" s="3" t="s">
        <v>44</v>
      </c>
      <c r="C9" s="3" t="s">
        <v>29</v>
      </c>
      <c r="D9" s="10" t="s">
        <v>26</v>
      </c>
      <c r="E9" s="3" t="s">
        <v>45</v>
      </c>
      <c r="F9" s="3" t="s">
        <v>22</v>
      </c>
      <c r="G9" s="3" t="s">
        <v>31</v>
      </c>
      <c r="H9" s="5">
        <v>46227</v>
      </c>
      <c r="I9" s="11">
        <v>46275</v>
      </c>
      <c r="J9" s="6">
        <f t="shared" ca="1" si="0"/>
        <v>31</v>
      </c>
    </row>
    <row r="10" spans="1:10">
      <c r="A10" s="3" t="s">
        <v>46</v>
      </c>
      <c r="B10" s="3" t="s">
        <v>47</v>
      </c>
      <c r="C10" s="3" t="s">
        <v>12</v>
      </c>
      <c r="D10" s="4" t="s">
        <v>13</v>
      </c>
      <c r="E10" s="3" t="s">
        <v>14</v>
      </c>
      <c r="F10" s="3" t="s">
        <v>15</v>
      </c>
      <c r="G10" s="3" t="s">
        <v>42</v>
      </c>
      <c r="H10" s="5">
        <v>46238</v>
      </c>
      <c r="I10" s="11">
        <v>46264</v>
      </c>
      <c r="J10" s="6">
        <f t="shared" ca="1" si="0"/>
        <v>42</v>
      </c>
    </row>
    <row r="11" spans="1:10">
      <c r="A11" s="3" t="s">
        <v>48</v>
      </c>
      <c r="B11" s="3" t="s">
        <v>49</v>
      </c>
      <c r="C11" s="3" t="s">
        <v>19</v>
      </c>
      <c r="D11" s="4" t="s">
        <v>20</v>
      </c>
      <c r="E11" s="3" t="s">
        <v>21</v>
      </c>
      <c r="F11" s="3" t="s">
        <v>22</v>
      </c>
      <c r="G11" s="3" t="s">
        <v>50</v>
      </c>
      <c r="H11" s="5">
        <v>46254</v>
      </c>
      <c r="I11" s="11">
        <v>46255</v>
      </c>
      <c r="J11" s="6" t="str">
        <f t="shared" ca="1" si="0"/>
        <v/>
      </c>
    </row>
    <row r="12" spans="1:10">
      <c r="A12" s="3" t="s">
        <v>51</v>
      </c>
      <c r="B12" s="3" t="s">
        <v>52</v>
      </c>
      <c r="C12" s="3" t="s">
        <v>29</v>
      </c>
      <c r="D12" s="10" t="s">
        <v>26</v>
      </c>
      <c r="E12" s="3" t="s">
        <v>45</v>
      </c>
      <c r="F12" s="3" t="s">
        <v>22</v>
      </c>
      <c r="G12" s="3" t="s">
        <v>23</v>
      </c>
      <c r="H12" s="5">
        <v>46250</v>
      </c>
      <c r="I12" s="11">
        <v>46265</v>
      </c>
      <c r="J12" s="6">
        <f t="shared" ca="1" si="0"/>
        <v>41</v>
      </c>
    </row>
    <row r="13" spans="1:10">
      <c r="A13" s="3" t="s">
        <v>53</v>
      </c>
      <c r="B13" s="3" t="s">
        <v>54</v>
      </c>
      <c r="C13" s="3" t="s">
        <v>29</v>
      </c>
      <c r="D13" s="10" t="s">
        <v>26</v>
      </c>
      <c r="E13" s="3" t="s">
        <v>21</v>
      </c>
      <c r="F13" s="3" t="s">
        <v>35</v>
      </c>
      <c r="G13" s="3" t="s">
        <v>23</v>
      </c>
      <c r="H13" s="5">
        <v>46246</v>
      </c>
      <c r="I13" s="11">
        <v>46264</v>
      </c>
      <c r="J13" s="6">
        <f t="shared" ca="1" si="0"/>
        <v>42</v>
      </c>
    </row>
    <row r="14" spans="1:10">
      <c r="A14" s="3" t="s">
        <v>55</v>
      </c>
      <c r="B14" s="3" t="s">
        <v>56</v>
      </c>
      <c r="C14" s="3" t="s">
        <v>29</v>
      </c>
      <c r="D14" s="10" t="s">
        <v>26</v>
      </c>
      <c r="E14" s="3" t="s">
        <v>21</v>
      </c>
      <c r="F14" s="3" t="s">
        <v>35</v>
      </c>
      <c r="G14" s="3" t="s">
        <v>16</v>
      </c>
      <c r="H14" s="5">
        <v>46252</v>
      </c>
      <c r="I14" s="11">
        <v>46251</v>
      </c>
      <c r="J14" s="6">
        <f t="shared" ca="1" si="0"/>
        <v>55</v>
      </c>
    </row>
    <row r="15" spans="1:10">
      <c r="A15" s="3" t="s">
        <v>57</v>
      </c>
      <c r="B15" s="3" t="s">
        <v>58</v>
      </c>
      <c r="C15" s="3" t="s">
        <v>59</v>
      </c>
      <c r="D15" s="10" t="s">
        <v>26</v>
      </c>
      <c r="E15" s="3" t="s">
        <v>41</v>
      </c>
      <c r="F15" s="3" t="s">
        <v>35</v>
      </c>
      <c r="G15" s="3" t="s">
        <v>31</v>
      </c>
      <c r="H15" s="5">
        <v>46239</v>
      </c>
      <c r="I15" s="11">
        <v>46276</v>
      </c>
      <c r="J15" s="6">
        <f t="shared" ca="1" si="0"/>
        <v>30</v>
      </c>
    </row>
    <row r="16" spans="1:10">
      <c r="A16" s="3" t="s">
        <v>60</v>
      </c>
      <c r="B16" s="3" t="s">
        <v>61</v>
      </c>
      <c r="C16" s="3" t="s">
        <v>62</v>
      </c>
      <c r="D16" s="10" t="s">
        <v>63</v>
      </c>
      <c r="E16" s="3" t="s">
        <v>45</v>
      </c>
      <c r="F16" s="3" t="s">
        <v>22</v>
      </c>
      <c r="G16" s="3" t="s">
        <v>50</v>
      </c>
      <c r="H16" s="5">
        <v>46242</v>
      </c>
      <c r="I16" s="11">
        <v>46243</v>
      </c>
      <c r="J16" s="6" t="str">
        <f t="shared" ca="1" si="0"/>
        <v/>
      </c>
    </row>
    <row r="17" spans="1:10">
      <c r="A17" s="3" t="s">
        <v>64</v>
      </c>
      <c r="B17" s="3" t="s">
        <v>65</v>
      </c>
      <c r="C17" s="3" t="s">
        <v>62</v>
      </c>
      <c r="D17" s="10" t="s">
        <v>63</v>
      </c>
      <c r="E17" s="3" t="s">
        <v>38</v>
      </c>
      <c r="F17" s="3" t="s">
        <v>22</v>
      </c>
      <c r="G17" s="3" t="s">
        <v>66</v>
      </c>
      <c r="H17" s="5">
        <v>46243</v>
      </c>
      <c r="I17" s="11">
        <v>46261</v>
      </c>
      <c r="J17" s="6">
        <f t="shared" ca="1" si="0"/>
        <v>45</v>
      </c>
    </row>
    <row r="18" spans="1:10">
      <c r="A18" s="3" t="s">
        <v>67</v>
      </c>
      <c r="B18" s="3" t="s">
        <v>68</v>
      </c>
      <c r="C18" s="3" t="s">
        <v>62</v>
      </c>
      <c r="D18" s="10" t="s">
        <v>63</v>
      </c>
      <c r="E18" s="3" t="s">
        <v>21</v>
      </c>
      <c r="F18" s="3" t="s">
        <v>35</v>
      </c>
      <c r="G18" s="3" t="s">
        <v>31</v>
      </c>
      <c r="H18" s="5">
        <v>46231</v>
      </c>
      <c r="I18" s="11">
        <v>46270</v>
      </c>
      <c r="J18" s="6">
        <f t="shared" ca="1" si="0"/>
        <v>36</v>
      </c>
    </row>
    <row r="19" spans="1:10">
      <c r="A19" s="3" t="s">
        <v>69</v>
      </c>
      <c r="B19" s="3" t="s">
        <v>70</v>
      </c>
      <c r="C19" s="3" t="s">
        <v>29</v>
      </c>
      <c r="D19" s="10" t="s">
        <v>26</v>
      </c>
      <c r="E19" s="3" t="s">
        <v>30</v>
      </c>
      <c r="F19" s="3" t="s">
        <v>22</v>
      </c>
      <c r="G19" s="3" t="s">
        <v>23</v>
      </c>
      <c r="H19" s="5">
        <v>46221</v>
      </c>
      <c r="I19" s="11">
        <v>46275</v>
      </c>
      <c r="J19" s="6">
        <f t="shared" ca="1" si="0"/>
        <v>31</v>
      </c>
    </row>
    <row r="20" spans="1:10">
      <c r="A20" s="3" t="s">
        <v>71</v>
      </c>
      <c r="B20" s="3" t="s">
        <v>72</v>
      </c>
      <c r="C20" s="3" t="s">
        <v>73</v>
      </c>
      <c r="D20" s="10" t="s">
        <v>74</v>
      </c>
      <c r="E20" s="3" t="s">
        <v>41</v>
      </c>
      <c r="F20" s="3" t="s">
        <v>15</v>
      </c>
      <c r="G20" s="3" t="s">
        <v>31</v>
      </c>
      <c r="H20" s="5">
        <v>46231</v>
      </c>
      <c r="I20" s="11">
        <v>46264</v>
      </c>
      <c r="J20" s="6">
        <f t="shared" ca="1" si="0"/>
        <v>42</v>
      </c>
    </row>
    <row r="21" spans="1:10">
      <c r="A21" s="7" t="s">
        <v>75</v>
      </c>
      <c r="B21" s="7" t="s">
        <v>76</v>
      </c>
      <c r="C21" s="7" t="s">
        <v>73</v>
      </c>
      <c r="D21" s="10" t="s">
        <v>74</v>
      </c>
      <c r="E21" s="7" t="s">
        <v>34</v>
      </c>
      <c r="F21" s="7" t="s">
        <v>35</v>
      </c>
      <c r="G21" s="7" t="s">
        <v>16</v>
      </c>
      <c r="H21" s="8">
        <v>46251</v>
      </c>
      <c r="I21" s="12">
        <v>46244</v>
      </c>
      <c r="J21" s="9">
        <f t="shared" ca="1" si="0"/>
        <v>62</v>
      </c>
    </row>
    <row r="22" spans="1:10">
      <c r="A22" s="3" t="s">
        <v>10</v>
      </c>
      <c r="B22" s="3" t="s">
        <v>11</v>
      </c>
      <c r="C22" s="3" t="s">
        <v>12</v>
      </c>
      <c r="D22" s="13" t="s">
        <v>13</v>
      </c>
      <c r="E22" s="3" t="s">
        <v>14</v>
      </c>
      <c r="F22" s="3" t="s">
        <v>15</v>
      </c>
      <c r="G22" s="3" t="s">
        <v>16</v>
      </c>
      <c r="H22" s="5">
        <v>46239</v>
      </c>
      <c r="I22" s="11">
        <v>46256</v>
      </c>
      <c r="J22" s="6">
        <f t="shared" ref="J22:J41" ca="1" si="1">IF(G22="Closed","",IF(TODAY()&gt;I22,TODAY()-I22,0))</f>
        <v>50</v>
      </c>
    </row>
    <row r="23" spans="1:10">
      <c r="A23" s="3" t="s">
        <v>17</v>
      </c>
      <c r="B23" s="3" t="s">
        <v>18</v>
      </c>
      <c r="C23" s="3" t="s">
        <v>19</v>
      </c>
      <c r="D23" s="13" t="s">
        <v>20</v>
      </c>
      <c r="E23" s="3" t="s">
        <v>21</v>
      </c>
      <c r="F23" s="3" t="s">
        <v>22</v>
      </c>
      <c r="G23" s="3" t="s">
        <v>23</v>
      </c>
      <c r="H23" s="5">
        <v>46222</v>
      </c>
      <c r="I23" s="11">
        <v>46246</v>
      </c>
      <c r="J23" s="6">
        <f t="shared" ca="1" si="1"/>
        <v>60</v>
      </c>
    </row>
    <row r="24" spans="1:10">
      <c r="A24" s="3" t="s">
        <v>24</v>
      </c>
      <c r="B24" s="3" t="s">
        <v>25</v>
      </c>
      <c r="C24" s="3" t="s">
        <v>19</v>
      </c>
      <c r="D24" s="13" t="s">
        <v>26</v>
      </c>
      <c r="E24" s="3" t="s">
        <v>14</v>
      </c>
      <c r="F24" s="3" t="s">
        <v>22</v>
      </c>
      <c r="G24" s="3" t="s">
        <v>16</v>
      </c>
      <c r="H24" s="5">
        <v>46243</v>
      </c>
      <c r="I24" s="11">
        <v>46255</v>
      </c>
      <c r="J24" s="6">
        <f t="shared" ca="1" si="1"/>
        <v>51</v>
      </c>
    </row>
    <row r="25" spans="1:10">
      <c r="A25" s="3" t="s">
        <v>27</v>
      </c>
      <c r="B25" s="3" t="s">
        <v>28</v>
      </c>
      <c r="C25" s="3" t="s">
        <v>29</v>
      </c>
      <c r="D25" s="13" t="s">
        <v>26</v>
      </c>
      <c r="E25" s="3" t="s">
        <v>30</v>
      </c>
      <c r="F25" s="3" t="s">
        <v>15</v>
      </c>
      <c r="G25" s="3" t="s">
        <v>31</v>
      </c>
      <c r="H25" s="5">
        <v>46222</v>
      </c>
      <c r="I25" s="11">
        <v>46267</v>
      </c>
      <c r="J25" s="6">
        <f t="shared" ca="1" si="1"/>
        <v>39</v>
      </c>
    </row>
    <row r="26" spans="1:10">
      <c r="A26" s="3" t="s">
        <v>32</v>
      </c>
      <c r="B26" s="3" t="s">
        <v>33</v>
      </c>
      <c r="C26" s="3" t="s">
        <v>29</v>
      </c>
      <c r="D26" s="13" t="s">
        <v>26</v>
      </c>
      <c r="E26" s="3" t="s">
        <v>34</v>
      </c>
      <c r="F26" s="3" t="s">
        <v>35</v>
      </c>
      <c r="G26" s="3" t="s">
        <v>23</v>
      </c>
      <c r="H26" s="5">
        <v>46256</v>
      </c>
      <c r="I26" s="11">
        <v>46251</v>
      </c>
      <c r="J26" s="6">
        <f t="shared" ca="1" si="1"/>
        <v>55</v>
      </c>
    </row>
    <row r="27" spans="1:10">
      <c r="A27" s="3" t="s">
        <v>36</v>
      </c>
      <c r="B27" s="3" t="s">
        <v>37</v>
      </c>
      <c r="C27" s="3" t="s">
        <v>29</v>
      </c>
      <c r="D27" s="13" t="s">
        <v>26</v>
      </c>
      <c r="E27" s="3" t="s">
        <v>38</v>
      </c>
      <c r="F27" s="3" t="s">
        <v>22</v>
      </c>
      <c r="G27" s="3" t="s">
        <v>31</v>
      </c>
      <c r="H27" s="5">
        <v>46243</v>
      </c>
      <c r="I27" s="11">
        <v>46262</v>
      </c>
      <c r="J27" s="6">
        <f t="shared" ca="1" si="1"/>
        <v>44</v>
      </c>
    </row>
    <row r="28" spans="1:10">
      <c r="A28" s="3" t="s">
        <v>39</v>
      </c>
      <c r="B28" s="3" t="s">
        <v>40</v>
      </c>
      <c r="C28" s="3" t="s">
        <v>29</v>
      </c>
      <c r="D28" s="13" t="s">
        <v>26</v>
      </c>
      <c r="E28" s="3" t="s">
        <v>41</v>
      </c>
      <c r="F28" s="3" t="s">
        <v>22</v>
      </c>
      <c r="G28" s="3" t="s">
        <v>42</v>
      </c>
      <c r="H28" s="5">
        <v>46234</v>
      </c>
      <c r="I28" s="11">
        <v>46263</v>
      </c>
      <c r="J28" s="6">
        <f t="shared" ca="1" si="1"/>
        <v>43</v>
      </c>
    </row>
    <row r="29" spans="1:10">
      <c r="A29" s="3" t="s">
        <v>43</v>
      </c>
      <c r="B29" s="3" t="s">
        <v>44</v>
      </c>
      <c r="C29" s="3" t="s">
        <v>29</v>
      </c>
      <c r="D29" s="13" t="s">
        <v>26</v>
      </c>
      <c r="E29" s="3" t="s">
        <v>45</v>
      </c>
      <c r="F29" s="3" t="s">
        <v>22</v>
      </c>
      <c r="G29" s="3" t="s">
        <v>31</v>
      </c>
      <c r="H29" s="5">
        <v>46227</v>
      </c>
      <c r="I29" s="11">
        <v>46275</v>
      </c>
      <c r="J29" s="6">
        <f t="shared" ca="1" si="1"/>
        <v>31</v>
      </c>
    </row>
    <row r="30" spans="1:10">
      <c r="A30" s="3" t="s">
        <v>46</v>
      </c>
      <c r="B30" s="3" t="s">
        <v>47</v>
      </c>
      <c r="C30" s="3" t="s">
        <v>12</v>
      </c>
      <c r="D30" s="13" t="s">
        <v>13</v>
      </c>
      <c r="E30" s="3" t="s">
        <v>14</v>
      </c>
      <c r="F30" s="3" t="s">
        <v>15</v>
      </c>
      <c r="G30" s="3" t="s">
        <v>42</v>
      </c>
      <c r="H30" s="5">
        <v>46238</v>
      </c>
      <c r="I30" s="11">
        <v>46264</v>
      </c>
      <c r="J30" s="6">
        <f t="shared" ca="1" si="1"/>
        <v>42</v>
      </c>
    </row>
    <row r="31" spans="1:10">
      <c r="A31" s="3" t="s">
        <v>48</v>
      </c>
      <c r="B31" s="3" t="s">
        <v>49</v>
      </c>
      <c r="C31" s="3" t="s">
        <v>19</v>
      </c>
      <c r="D31" s="13" t="s">
        <v>20</v>
      </c>
      <c r="E31" s="3" t="s">
        <v>21</v>
      </c>
      <c r="F31" s="3" t="s">
        <v>22</v>
      </c>
      <c r="G31" s="3" t="s">
        <v>50</v>
      </c>
      <c r="H31" s="5">
        <v>46254</v>
      </c>
      <c r="I31" s="11">
        <v>46255</v>
      </c>
      <c r="J31" s="6" t="str">
        <f t="shared" ca="1" si="1"/>
        <v/>
      </c>
    </row>
    <row r="32" spans="1:10">
      <c r="A32" s="3" t="s">
        <v>51</v>
      </c>
      <c r="B32" s="3" t="s">
        <v>52</v>
      </c>
      <c r="C32" s="3" t="s">
        <v>29</v>
      </c>
      <c r="D32" s="13" t="s">
        <v>26</v>
      </c>
      <c r="E32" s="3" t="s">
        <v>45</v>
      </c>
      <c r="F32" s="3" t="s">
        <v>22</v>
      </c>
      <c r="G32" s="3" t="s">
        <v>23</v>
      </c>
      <c r="H32" s="5">
        <v>46250</v>
      </c>
      <c r="I32" s="11">
        <v>46265</v>
      </c>
      <c r="J32" s="6">
        <f t="shared" ca="1" si="1"/>
        <v>41</v>
      </c>
    </row>
    <row r="33" spans="1:10">
      <c r="A33" s="3" t="s">
        <v>53</v>
      </c>
      <c r="B33" s="3" t="s">
        <v>54</v>
      </c>
      <c r="C33" s="3" t="s">
        <v>29</v>
      </c>
      <c r="D33" s="13" t="s">
        <v>26</v>
      </c>
      <c r="E33" s="3" t="s">
        <v>21</v>
      </c>
      <c r="F33" s="3" t="s">
        <v>35</v>
      </c>
      <c r="G33" s="3" t="s">
        <v>23</v>
      </c>
      <c r="H33" s="5">
        <v>46246</v>
      </c>
      <c r="I33" s="11">
        <v>46264</v>
      </c>
      <c r="J33" s="6">
        <f t="shared" ca="1" si="1"/>
        <v>42</v>
      </c>
    </row>
    <row r="34" spans="1:10">
      <c r="A34" s="3" t="s">
        <v>55</v>
      </c>
      <c r="B34" s="3" t="s">
        <v>56</v>
      </c>
      <c r="C34" s="3" t="s">
        <v>29</v>
      </c>
      <c r="D34" s="13" t="s">
        <v>26</v>
      </c>
      <c r="E34" s="3" t="s">
        <v>21</v>
      </c>
      <c r="F34" s="3" t="s">
        <v>35</v>
      </c>
      <c r="G34" s="3" t="s">
        <v>16</v>
      </c>
      <c r="H34" s="5">
        <v>46252</v>
      </c>
      <c r="I34" s="11">
        <v>46251</v>
      </c>
      <c r="J34" s="6">
        <f t="shared" ca="1" si="1"/>
        <v>55</v>
      </c>
    </row>
    <row r="35" spans="1:10">
      <c r="A35" s="3" t="s">
        <v>57</v>
      </c>
      <c r="B35" s="3" t="s">
        <v>58</v>
      </c>
      <c r="C35" s="3" t="s">
        <v>59</v>
      </c>
      <c r="D35" s="13" t="s">
        <v>26</v>
      </c>
      <c r="E35" s="3" t="s">
        <v>41</v>
      </c>
      <c r="F35" s="3" t="s">
        <v>35</v>
      </c>
      <c r="G35" s="3" t="s">
        <v>31</v>
      </c>
      <c r="H35" s="5">
        <v>46239</v>
      </c>
      <c r="I35" s="11">
        <v>46276</v>
      </c>
      <c r="J35" s="6">
        <f t="shared" ca="1" si="1"/>
        <v>30</v>
      </c>
    </row>
    <row r="36" spans="1:10">
      <c r="A36" s="3" t="s">
        <v>60</v>
      </c>
      <c r="B36" s="3" t="s">
        <v>61</v>
      </c>
      <c r="C36" s="3" t="s">
        <v>62</v>
      </c>
      <c r="D36" s="13" t="s">
        <v>63</v>
      </c>
      <c r="E36" s="3" t="s">
        <v>45</v>
      </c>
      <c r="F36" s="3" t="s">
        <v>22</v>
      </c>
      <c r="G36" s="3" t="s">
        <v>50</v>
      </c>
      <c r="H36" s="5">
        <v>46242</v>
      </c>
      <c r="I36" s="11">
        <v>46243</v>
      </c>
      <c r="J36" s="6" t="str">
        <f t="shared" ca="1" si="1"/>
        <v/>
      </c>
    </row>
    <row r="37" spans="1:10">
      <c r="A37" s="3" t="s">
        <v>64</v>
      </c>
      <c r="B37" s="3" t="s">
        <v>65</v>
      </c>
      <c r="C37" s="3" t="s">
        <v>62</v>
      </c>
      <c r="D37" s="13" t="s">
        <v>63</v>
      </c>
      <c r="E37" s="3" t="s">
        <v>38</v>
      </c>
      <c r="F37" s="3" t="s">
        <v>22</v>
      </c>
      <c r="G37" s="3" t="s">
        <v>66</v>
      </c>
      <c r="H37" s="5">
        <v>46243</v>
      </c>
      <c r="I37" s="11">
        <v>46261</v>
      </c>
      <c r="J37" s="6">
        <f t="shared" ca="1" si="1"/>
        <v>45</v>
      </c>
    </row>
    <row r="38" spans="1:10">
      <c r="A38" s="3" t="s">
        <v>67</v>
      </c>
      <c r="B38" s="3" t="s">
        <v>68</v>
      </c>
      <c r="C38" s="3" t="s">
        <v>62</v>
      </c>
      <c r="D38" s="13" t="s">
        <v>63</v>
      </c>
      <c r="E38" s="3" t="s">
        <v>21</v>
      </c>
      <c r="F38" s="3" t="s">
        <v>35</v>
      </c>
      <c r="G38" s="3" t="s">
        <v>31</v>
      </c>
      <c r="H38" s="5">
        <v>46231</v>
      </c>
      <c r="I38" s="11">
        <v>46270</v>
      </c>
      <c r="J38" s="6">
        <f t="shared" ca="1" si="1"/>
        <v>36</v>
      </c>
    </row>
    <row r="39" spans="1:10">
      <c r="A39" s="3" t="s">
        <v>69</v>
      </c>
      <c r="B39" s="3" t="s">
        <v>70</v>
      </c>
      <c r="C39" s="3" t="s">
        <v>29</v>
      </c>
      <c r="D39" s="13" t="s">
        <v>26</v>
      </c>
      <c r="E39" s="3" t="s">
        <v>30</v>
      </c>
      <c r="F39" s="3" t="s">
        <v>22</v>
      </c>
      <c r="G39" s="3" t="s">
        <v>23</v>
      </c>
      <c r="H39" s="5">
        <v>46221</v>
      </c>
      <c r="I39" s="11">
        <v>46275</v>
      </c>
      <c r="J39" s="6">
        <f t="shared" ca="1" si="1"/>
        <v>31</v>
      </c>
    </row>
    <row r="40" spans="1:10">
      <c r="A40" s="3" t="s">
        <v>71</v>
      </c>
      <c r="B40" s="3" t="s">
        <v>72</v>
      </c>
      <c r="C40" s="3" t="s">
        <v>73</v>
      </c>
      <c r="D40" s="13" t="s">
        <v>74</v>
      </c>
      <c r="E40" s="3" t="s">
        <v>41</v>
      </c>
      <c r="F40" s="3" t="s">
        <v>15</v>
      </c>
      <c r="G40" s="3" t="s">
        <v>31</v>
      </c>
      <c r="H40" s="5">
        <v>46231</v>
      </c>
      <c r="I40" s="11">
        <v>46264</v>
      </c>
      <c r="J40" s="6">
        <f t="shared" ca="1" si="1"/>
        <v>42</v>
      </c>
    </row>
    <row r="41" spans="1:10">
      <c r="A41" s="7" t="s">
        <v>75</v>
      </c>
      <c r="B41" s="7" t="s">
        <v>76</v>
      </c>
      <c r="C41" s="7" t="s">
        <v>73</v>
      </c>
      <c r="D41" s="14" t="s">
        <v>74</v>
      </c>
      <c r="E41" s="7" t="s">
        <v>34</v>
      </c>
      <c r="F41" s="7" t="s">
        <v>35</v>
      </c>
      <c r="G41" s="7" t="s">
        <v>16</v>
      </c>
      <c r="H41" s="8">
        <v>46251</v>
      </c>
      <c r="I41" s="12">
        <v>46244</v>
      </c>
      <c r="J41" s="9">
        <f t="shared" ca="1" si="1"/>
        <v>62</v>
      </c>
    </row>
  </sheetData>
  <hyperlinks>
    <hyperlink ref="D2" r:id="rId1" xr:uid="{00000000-0004-0000-0000-000000000000}"/>
    <hyperlink ref="D3" r:id="rId2" xr:uid="{00000000-0004-0000-0000-000001000000}"/>
    <hyperlink ref="D5" r:id="rId3" xr:uid="{0F22F9D3-AFF2-494F-A522-2CC49E4E1BF6}"/>
    <hyperlink ref="D6" r:id="rId4" xr:uid="{78828BE7-8022-4B58-A9F9-82742C6DB06B}"/>
    <hyperlink ref="D7" r:id="rId5" xr:uid="{E8D49C94-FB61-4450-8639-2A5D26BE3D92}"/>
    <hyperlink ref="D8" r:id="rId6" xr:uid="{7B862397-8CE2-42A2-B12E-251F51C56E93}"/>
    <hyperlink ref="D9" r:id="rId7" xr:uid="{05544200-06C8-4315-9764-D5C8A979206B}"/>
    <hyperlink ref="D12" r:id="rId8" xr:uid="{576484CE-84B3-4EFA-B75F-3586FD3E046C}"/>
    <hyperlink ref="D4" r:id="rId9" xr:uid="{7405295D-05AA-4AAB-AE94-2C27152B8E72}"/>
    <hyperlink ref="D10" r:id="rId10" xr:uid="{24F7B74F-6991-4FCA-AD87-9B14944041CD}"/>
    <hyperlink ref="D11" r:id="rId11" xr:uid="{C75AFD0C-5FAB-40A3-AFE7-EB76CE810584}"/>
    <hyperlink ref="D17" r:id="rId12" xr:uid="{1B6B7ABC-A07B-4BC9-A27E-B1D1519C5D47}"/>
    <hyperlink ref="D16" r:id="rId13" xr:uid="{5DB98BBC-14C1-4522-9101-3B565196A6AB}"/>
    <hyperlink ref="D20" r:id="rId14" xr:uid="{B90F938F-276A-48F0-806F-293A4D20FD44}"/>
    <hyperlink ref="D21" r:id="rId15" xr:uid="{A01B0450-1EB3-4B28-8949-363495899D9D}"/>
    <hyperlink ref="D18" r:id="rId16" xr:uid="{BF0E423F-38BD-4C14-A420-910C971F1902}"/>
    <hyperlink ref="D22" r:id="rId17" xr:uid="{F3AEE728-66FD-4261-83C8-C898006A67C6}"/>
    <hyperlink ref="D23" r:id="rId18" xr:uid="{8A7FF914-3884-4E36-BD80-06E6F806723C}"/>
    <hyperlink ref="D25" r:id="rId19" xr:uid="{5CF72BD8-581F-4A61-8C3A-0BADD1F01D95}"/>
    <hyperlink ref="D26" r:id="rId20" xr:uid="{408FE4B9-B0B4-4E4B-A341-D57B41650801}"/>
    <hyperlink ref="D27" r:id="rId21" xr:uid="{77AFAD89-DCAF-4989-8175-C477A4EDB7EF}"/>
    <hyperlink ref="D28" r:id="rId22" xr:uid="{E8B4388E-28CC-47D4-BDE6-73047582A15B}"/>
    <hyperlink ref="D29" r:id="rId23" xr:uid="{671CD800-A9DE-4ABE-AA3C-3A772D015AF2}"/>
    <hyperlink ref="D32" r:id="rId24" xr:uid="{C507A258-C2E7-4759-B4D3-A07D73096134}"/>
    <hyperlink ref="D24" r:id="rId25" xr:uid="{342B2D11-C14A-4B35-93A7-8A643BC8150E}"/>
    <hyperlink ref="D30" r:id="rId26" xr:uid="{B8D34F7C-E366-4137-9FB6-BA82AC3E8383}"/>
    <hyperlink ref="D31" r:id="rId27" xr:uid="{0EF5F15D-46EF-44B7-8F2A-25AF620571CF}"/>
    <hyperlink ref="D37" r:id="rId28" xr:uid="{F1D4E121-F997-4DE2-B435-E85015F44B25}"/>
    <hyperlink ref="D36" r:id="rId29" xr:uid="{2B7132FD-64DC-4060-BBD8-B6CCF5EA5EB3}"/>
    <hyperlink ref="D40" r:id="rId30" xr:uid="{5A174B1C-1022-4D14-947F-8D18BA4C25EC}"/>
    <hyperlink ref="D41" r:id="rId31" xr:uid="{ADFCBC48-322E-4943-8C2D-F952BB921444}"/>
    <hyperlink ref="D38" r:id="rId32" xr:uid="{85B4863D-DFF1-4C01-B8B9-0EC69E01AD38}"/>
  </hyperlinks>
  <pageMargins left="0.75" right="0.75" top="1" bottom="1" header="0.511811023622047" footer="0.511811023622047"/>
  <pageSetup paperSize="9" orientation="portrait" horizontalDpi="300" verticalDpi="300"/>
  <tableParts count="1">
    <tablePart r:id="rId3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973D37B3C3D54B9CD306C28E826723" ma:contentTypeVersion="13" ma:contentTypeDescription="Create a new document." ma:contentTypeScope="" ma:versionID="d97d112ff14398d0a999a6d4f068aa68">
  <xsd:schema xmlns:xsd="http://www.w3.org/2001/XMLSchema" xmlns:xs="http://www.w3.org/2001/XMLSchema" xmlns:p="http://schemas.microsoft.com/office/2006/metadata/properties" xmlns:ns2="7d672b0a-dcab-45d6-8768-c55d43020c96" xmlns:ns3="1c1e1a81-8a38-4503-8245-5ef90ca38408" targetNamespace="http://schemas.microsoft.com/office/2006/metadata/properties" ma:root="true" ma:fieldsID="5e6fba081cd77de8f86160edf07b2777" ns2:_="" ns3:_="">
    <xsd:import namespace="7d672b0a-dcab-45d6-8768-c55d43020c96"/>
    <xsd:import namespace="1c1e1a81-8a38-4503-8245-5ef90ca384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72b0a-dcab-45d6-8768-c55d43020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bcace5b-e4db-4bfd-9f3b-dc25d743d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e1a81-8a38-4503-8245-5ef90ca3840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a36213a-eb83-47d5-9fcf-4b40f7ae9be8}" ma:internalName="TaxCatchAll" ma:showField="CatchAllData" ma:web="1c1e1a81-8a38-4503-8245-5ef90ca384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672b0a-dcab-45d6-8768-c55d43020c96">
      <Terms xmlns="http://schemas.microsoft.com/office/infopath/2007/PartnerControls"/>
    </lcf76f155ced4ddcb4097134ff3c332f>
    <TaxCatchAll xmlns="1c1e1a81-8a38-4503-8245-5ef90ca38408" xsi:nil="true"/>
  </documentManagement>
</p:properties>
</file>

<file path=customXml/itemProps1.xml><?xml version="1.0" encoding="utf-8"?>
<ds:datastoreItem xmlns:ds="http://schemas.openxmlformats.org/officeDocument/2006/customXml" ds:itemID="{BA469394-B4F4-493A-A806-107C73CCD2D1}"/>
</file>

<file path=customXml/itemProps2.xml><?xml version="1.0" encoding="utf-8"?>
<ds:datastoreItem xmlns:ds="http://schemas.openxmlformats.org/officeDocument/2006/customXml" ds:itemID="{0EB7462F-6E43-4405-B515-5504CC3A095D}"/>
</file>

<file path=customXml/itemProps3.xml><?xml version="1.0" encoding="utf-8"?>
<ds:datastoreItem xmlns:ds="http://schemas.openxmlformats.org/officeDocument/2006/customXml" ds:itemID="{A0FE65F5-9462-48CA-B407-F3AAA5589F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2026-08-27T13:16:00Z</dcterms:created>
  <dcterms:modified xsi:type="dcterms:W3CDTF">2026-10-10T23:46:17Z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E48AD3B1489B4DC0822A9F3E7E412C26_13</vt:lpwstr>
  </property>
  <property fmtid="{D5CDD505-2E9C-101B-9397-08002B2CF9AE}" pid="3" name="KSOProductBuildVer">
    <vt:lpwstr>2057-12.2.0.23206</vt:lpwstr>
  </property>
  <property fmtid="{D5CDD505-2E9C-101B-9397-08002B2CF9AE}" pid="4" name="ContentTypeId">
    <vt:lpwstr>0x010100F9973D37B3C3D54B9CD306C28E826723</vt:lpwstr>
  </property>
  <property fmtid="{D5CDD505-2E9C-101B-9397-08002B2CF9AE}" pid="5" name="MediaServiceImageTags">
    <vt:lpwstr/>
  </property>
</Properties>
</file>